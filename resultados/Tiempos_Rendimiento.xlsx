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OneDrive\Documentos\Universidad\Estructura de Datos\Recursos\"/>
    </mc:Choice>
  </mc:AlternateContent>
  <xr:revisionPtr revIDLastSave="0" documentId="13_ncr:1_{0F1F147B-9650-4288-9B32-3B512F6FB852}" xr6:coauthVersionLast="47" xr6:coauthVersionMax="47" xr10:uidLastSave="{00000000-0000-0000-0000-000000000000}"/>
  <bookViews>
    <workbookView xWindow="-16560" yWindow="-891" windowWidth="16663" windowHeight="10577" tabRatio="500" firstSheet="3" activeTab="5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2" l="1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<sst xmlns="http://schemas.openxmlformats.org/spreadsheetml/2006/main" count="209" uniqueCount="75">
  <si>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</si>
  <si>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</si>
  <si>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</si>
  <si>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</si>
  <si>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</si>
  <si>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</si>
  <si>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</si>
  <si>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</si>
  <si>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</si>
  <si>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</si>
  <si>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</si>
  <si>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</si>
  <si>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</si>
  <si>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</si>
  <si>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</si>
  <si>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</si>
  <si>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</si>
  <si>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</si>
  <si>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</si>
  <si>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</si>
  <si>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</si>
  <si>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</si>
  <si>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</si>
  <si>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</si>
  <si>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</si>
  <si>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</si>
  <si>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</si>
  <si>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</si>
  <si>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</si>
  <si>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</si>
  <si>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</si>
  <si>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</si>
  <si>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</si>
  <si>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</si>
  <si>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</si>
  <si>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</si>
  <si>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</si>
  <si>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</si>
  <si>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</si>
  <si>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</si>
  <si>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</si>
  <si>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</si>
  <si>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</si>
  <si>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</si>
  <si>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</si>
  <si>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</si>
  <si>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</si>
  <si>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</si>
  <si>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</si>
  <si>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</si>
  <si>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</si>
  <si>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</si>
  <si>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</si>
  <si>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</si>
  <si>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</si>
  <si>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</si>
  <si>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</si>
  <si>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</si>
  <si>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</si>
  <si>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</si>
  <si>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</si>
  <si>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</si>
  <si>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</si>
  <si>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</si>
  <si>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</si>
  <si>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 xml:space="preserve">Si </t>
  </si>
  <si>
    <t>La gráfica muestra una línea casi recta, el tiempo crece proporcianalmente con n</t>
  </si>
  <si>
    <t xml:space="preserve">Comportamiento lineal igual al iterativo, cada llamada hace una operación </t>
  </si>
  <si>
    <t>Línea prácticamente plana, tiempos muy pequeños sin importar n</t>
  </si>
  <si>
    <t>La curva explota visiblemente: de 0.001ms en n=5 a 4.8ms en n=30</t>
  </si>
  <si>
    <t>Si</t>
  </si>
  <si>
    <t>El tiempo crece proporcionalmente al aumentar n</t>
  </si>
  <si>
    <t>Mismo comportamiento lineal que el iterativo</t>
  </si>
  <si>
    <t>Al pasar de n=1000 a n=10000 (x10), el tiempo sube de 3.4ms a 142ms (x41)</t>
  </si>
  <si>
    <t>Al pasar de n=1000 a n=10000 (x10), el tiempo sube de 1.15ms a 134ms (x117)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</si>
</sst>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sz val="9"/>
      <color rgb="FF333333"/>
      <name val="Arial"/>
      <charset val="1"/>
    </font>
    <font>
      <sz val="9"/>
      <color theme="1"/>
      <name val="Arial"/>
      <family val="2"/>
    </font>
    <font>
      <b/>
      <sz val="9"/>
      <color rgb="FFAA0000"/>
      <name val="Arial"/>
      <family val="2"/>
    </font>
    <font>
      <b/>
      <sz val="9"/>
      <color rgb="FF007700"/>
      <name val="Arial"/>
      <family val="2"/>
    </font>
    <font>
      <sz val="9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  <fill>
      <patternFill patternType="solid">
        <fgColor rgb="FFFFFDE7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rgb="FFCCCCCC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rgb="FFCCCCCC"/>
      </top>
      <bottom style="thin">
        <color rgb="FFCCCCCC"/>
      </bottom>
      <diagonal/>
    </border>
    <border>
      <left style="thin">
        <color theme="0" tint="-0.14999847407452621"/>
      </left>
      <right/>
      <top style="thin">
        <color rgb="FFCCCCCC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22" fillId="13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22" fillId="13" borderId="11" xfId="0" applyFont="1" applyFill="1" applyBorder="1" applyAlignment="1">
      <alignment horizontal="center" vertical="center" wrapText="1"/>
    </xf>
    <xf numFmtId="0" fontId="22" fillId="13" borderId="12" xfId="0" applyFont="1" applyFill="1" applyBorder="1" applyAlignment="1">
      <alignment horizontal="center" vertical="center" wrapText="1"/>
    </xf>
    <xf numFmtId="0" fontId="22" fillId="13" borderId="13" xfId="0" applyFont="1" applyFill="1" applyBorder="1" applyAlignment="1">
      <alignment horizontal="center" vertical="center" wrapText="1"/>
    </xf>
    <xf numFmtId="0" fontId="22" fillId="13" borderId="14" xfId="0" applyFont="1" applyFill="1" applyBorder="1" applyAlignment="1">
      <alignment horizontal="center" vertical="center" wrapText="1"/>
    </xf>
    <xf numFmtId="0" fontId="22" fillId="13" borderId="0" xfId="0" applyFont="1" applyFill="1" applyBorder="1" applyAlignment="1">
      <alignment horizontal="center" vertical="center" wrapText="1"/>
    </xf>
    <xf numFmtId="0" fontId="22" fillId="13" borderId="15" xfId="0" applyFont="1" applyFill="1" applyBorder="1" applyAlignment="1">
      <alignment horizontal="center" vertical="center" wrapText="1"/>
    </xf>
    <xf numFmtId="0" fontId="22" fillId="13" borderId="16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0.13276019999999999</c:v>
                </c:pt>
                <c:pt idx="1">
                  <c:v>4.2000000000000007E-4</c:v>
                </c:pt>
                <c:pt idx="2">
                  <c:v>5.0000000000000001E-4</c:v>
                </c:pt>
                <c:pt idx="3">
                  <c:v>5.399999999999999E-4</c:v>
                </c:pt>
                <c:pt idx="4">
                  <c:v>7.002E-4</c:v>
                </c:pt>
                <c:pt idx="5">
                  <c:v>3.5798000000000002E-3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1.3399999999999998E-3</c:v>
                </c:pt>
                <c:pt idx="1">
                  <c:v>6.0020000000000006E-4</c:v>
                </c:pt>
                <c:pt idx="2">
                  <c:v>1.0399999999999999E-3</c:v>
                </c:pt>
                <c:pt idx="3">
                  <c:v>8.2000000000000009E-4</c:v>
                </c:pt>
                <c:pt idx="4">
                  <c:v>1.14E-3</c:v>
                </c:pt>
                <c:pt idx="5">
                  <c:v>6.8000000000000005E-3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0.10849999999999997</c:v>
                </c:pt>
                <c:pt idx="1">
                  <c:v>4.7980000000000001E-4</c:v>
                </c:pt>
                <c:pt idx="2">
                  <c:v>5.1999999999999995E-4</c:v>
                </c:pt>
                <c:pt idx="3">
                  <c:v>5.6000000000000006E-4</c:v>
                </c:pt>
                <c:pt idx="4">
                  <c:v>6.5979999999999999E-4</c:v>
                </c:pt>
                <c:pt idx="5">
                  <c:v>1.48E-3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1.5800000000000002E-3</c:v>
                </c:pt>
                <c:pt idx="1">
                  <c:v>3.5540000000000002E-2</c:v>
                </c:pt>
                <c:pt idx="2">
                  <c:v>7.5399599999999997E-2</c:v>
                </c:pt>
                <c:pt idx="3">
                  <c:v>0.17996019999999999</c:v>
                </c:pt>
                <c:pt idx="4">
                  <c:v>0.59428019999999993</c:v>
                </c:pt>
                <c:pt idx="5">
                  <c:v>4.8181406000000004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0.11834019999999998</c:v>
                </c:pt>
                <c:pt idx="1">
                  <c:v>7.5200000000000006E-3</c:v>
                </c:pt>
                <c:pt idx="2">
                  <c:v>1.5460000000000002E-2</c:v>
                </c:pt>
                <c:pt idx="3">
                  <c:v>7.5819999999999999E-2</c:v>
                </c:pt>
                <c:pt idx="4">
                  <c:v>0.23233999999999999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4.9600000000000009E-3</c:v>
                </c:pt>
                <c:pt idx="1">
                  <c:v>7.8819799999999995E-2</c:v>
                </c:pt>
                <c:pt idx="2">
                  <c:v>8.8719999999999993E-2</c:v>
                </c:pt>
                <c:pt idx="3">
                  <c:v>7.1759799999999999E-2</c:v>
                </c:pt>
                <c:pt idx="4">
                  <c:v>5.0560000000000008E-2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0.30693999999999999</c:v>
                </c:pt>
                <c:pt idx="1">
                  <c:v>1.5142604</c:v>
                </c:pt>
                <c:pt idx="2">
                  <c:v>1.1532398000000001</c:v>
                </c:pt>
                <c:pt idx="3">
                  <c:v>27.761680200000001</c:v>
                </c:pt>
                <c:pt idx="4">
                  <c:v>134.75662020000001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9.55598E-2</c:v>
                </c:pt>
                <c:pt idx="1">
                  <c:v>1.21272</c:v>
                </c:pt>
                <c:pt idx="2">
                  <c:v>3.4674601999999992</c:v>
                </c:pt>
                <c:pt idx="3">
                  <c:v>29.294780200000002</c:v>
                </c:pt>
                <c:pt idx="4">
                  <c:v>142.67748019999999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2" zoomScaleNormal="100" workbookViewId="0">
      <selection activeCell="G9" sqref="G9"/>
    </sheetView>
  </sheetViews>
  <sheetFormatPr baseColWidth="10" defaultColWidth="8.6640625" defaultRowHeight="15" customHeight="1" x14ac:dyDescent="0.3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3"/>
    <row r="2" spans="2:4" ht="36" customHeight="1" x14ac:dyDescent="0.3">
      <c r="B2" s="29" t="s">
        <v>0</v>
      </c>
      <c r="C2" s="29"/>
      <c r="D2" s="29"/>
    </row>
    <row r="3" spans="2:4" ht="21.75" customHeight="1" x14ac:dyDescent="0.3">
      <c r="B3" s="30" t="s">
        <v>1</v>
      </c>
      <c r="C3" s="30"/>
      <c r="D3" s="30"/>
    </row>
    <row r="4" spans="2:4" ht="9.75" customHeight="1" x14ac:dyDescent="0.3"/>
    <row r="5" spans="2:4" ht="27.75" customHeight="1" x14ac:dyDescent="0.3">
      <c r="B5" s="25" t="s">
        <v>2</v>
      </c>
    </row>
    <row r="6" spans="2:4" ht="60" customHeight="1" x14ac:dyDescent="0.3">
      <c r="B6" s="25"/>
      <c r="C6" s="28" t="s">
        <v>3</v>
      </c>
      <c r="D6" s="28"/>
    </row>
    <row r="7" spans="2:4" ht="6" customHeight="1" x14ac:dyDescent="0.3"/>
    <row r="8" spans="2:4" ht="27.75" customHeight="1" x14ac:dyDescent="0.3">
      <c r="B8" s="25" t="s">
        <v>4</v>
      </c>
    </row>
    <row r="9" spans="2:4" ht="117.75" customHeight="1" x14ac:dyDescent="0.3">
      <c r="B9" s="25"/>
      <c r="C9" s="26" t="s">
        <v>5</v>
      </c>
      <c r="D9" s="26"/>
    </row>
    <row r="10" spans="2:4" ht="6" customHeight="1" x14ac:dyDescent="0.3"/>
    <row r="11" spans="2:4" ht="27.75" customHeight="1" x14ac:dyDescent="0.3">
      <c r="B11" s="25" t="s">
        <v>6</v>
      </c>
    </row>
    <row r="12" spans="2:4" ht="81.75" customHeight="1" x14ac:dyDescent="0.3">
      <c r="B12" s="25"/>
      <c r="C12" s="26" t="s">
        <v>7</v>
      </c>
      <c r="D12" s="26"/>
    </row>
    <row r="13" spans="2:4" ht="6" customHeight="1" x14ac:dyDescent="0.3"/>
    <row r="14" spans="2:4" ht="27.75" customHeight="1" x14ac:dyDescent="0.3">
      <c r="B14" s="25" t="s">
        <v>8</v>
      </c>
    </row>
    <row r="15" spans="2:4" ht="99.75" customHeight="1" x14ac:dyDescent="0.3">
      <c r="B15" s="25"/>
      <c r="C15" s="27" t="s">
        <v>9</v>
      </c>
      <c r="D15" s="27"/>
    </row>
    <row r="16" spans="2:4" ht="6" customHeight="1" x14ac:dyDescent="0.3"/>
    <row r="17" spans="2:4" ht="27.75" customHeight="1" x14ac:dyDescent="0.3">
      <c r="B17" s="25" t="s">
        <v>10</v>
      </c>
    </row>
    <row r="18" spans="2:4" ht="99.75" customHeight="1" x14ac:dyDescent="0.3">
      <c r="B18" s="25"/>
      <c r="C18" s="28" t="s">
        <v>11</v>
      </c>
      <c r="D18" s="28"/>
    </row>
    <row r="19" spans="2:4" ht="6" customHeight="1" x14ac:dyDescent="0.3"/>
    <row r="20" spans="2:4" ht="27.75" customHeight="1" x14ac:dyDescent="0.3">
      <c r="B20" s="25" t="s">
        <v>12</v>
      </c>
    </row>
    <row r="21" spans="2:4" ht="81.75" customHeight="1" x14ac:dyDescent="0.3">
      <c r="B21" s="25"/>
      <c r="C21" s="26" t="s">
        <v>13</v>
      </c>
      <c r="D21" s="26"/>
    </row>
    <row r="22" spans="2:4" ht="6" customHeight="1" x14ac:dyDescent="0.3"/>
  </sheetData>
  <mergeCells count="14">
    <mergeCell ref="B2:D2"/>
    <mergeCell ref="B3:D3"/>
    <mergeCell ref="B5:B6"/>
    <mergeCell ref="C6:D6"/>
    <mergeCell ref="B8:B9"/>
    <mergeCell ref="C9:D9"/>
    <mergeCell ref="B11:B12"/>
    <mergeCell ref="C12:D12"/>
    <mergeCell ref="B20:B21"/>
    <mergeCell ref="C21:D21"/>
    <mergeCell ref="B14:B15"/>
    <mergeCell ref="C15:D15"/>
    <mergeCell ref="B17:B18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="115" zoomScaleNormal="115" workbookViewId="0">
      <pane ySplit="2" topLeftCell="A3" activePane="bottomLeft" state="frozen"/>
      <selection pane="bottomLeft" activeCell="F41" sqref="F41"/>
    </sheetView>
  </sheetViews>
  <sheetFormatPr baseColWidth="10" defaultColWidth="8.6640625" defaultRowHeight="15" customHeight="1" x14ac:dyDescent="0.3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3">
      <c r="B1" s="31" t="s">
        <v>14</v>
      </c>
      <c r="C1" s="31"/>
      <c r="D1" s="31"/>
      <c r="E1" s="31"/>
      <c r="F1" s="31"/>
      <c r="G1" s="31"/>
      <c r="H1" s="31"/>
      <c r="I1" s="31"/>
    </row>
    <row r="2" spans="2:10" ht="36" customHeight="1" x14ac:dyDescent="0.3">
      <c r="B2" s="2" t="s">
        <v>15</v>
      </c>
      <c r="C2" s="2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3" t="s">
        <v>23</v>
      </c>
    </row>
    <row r="3" spans="2:10" ht="18" customHeight="1" x14ac:dyDescent="0.3">
      <c r="B3" s="4" t="s">
        <v>24</v>
      </c>
      <c r="C3" s="40" t="s">
        <v>25</v>
      </c>
      <c r="D3" s="42">
        <v>5</v>
      </c>
      <c r="E3" s="48">
        <v>0.66240100000000002</v>
      </c>
      <c r="F3" s="50">
        <v>8.9999999999999998E-4</v>
      </c>
      <c r="G3" s="53">
        <v>2.0000000000000001E-4</v>
      </c>
      <c r="H3" s="46">
        <v>2.0000000000000001E-4</v>
      </c>
      <c r="I3" s="46">
        <v>1E-4</v>
      </c>
      <c r="J3" s="39">
        <f t="shared" ref="J3:J14" si="0">AVERAGE(E3:I3)</f>
        <v>0.13276019999999999</v>
      </c>
    </row>
    <row r="4" spans="2:10" ht="18" customHeight="1" x14ac:dyDescent="0.3">
      <c r="B4" s="4" t="s">
        <v>24</v>
      </c>
      <c r="C4" s="40" t="s">
        <v>25</v>
      </c>
      <c r="D4" s="44">
        <v>10</v>
      </c>
      <c r="E4" s="46">
        <v>1.1000000000000001E-3</v>
      </c>
      <c r="F4" s="46">
        <v>4.0000000000000002E-4</v>
      </c>
      <c r="G4" s="48">
        <v>2.0000000000000001E-4</v>
      </c>
      <c r="H4" s="46">
        <v>2.0000000000000001E-4</v>
      </c>
      <c r="I4" s="47">
        <v>2.0000000000000001E-4</v>
      </c>
      <c r="J4" s="39">
        <f t="shared" si="0"/>
        <v>4.2000000000000007E-4</v>
      </c>
    </row>
    <row r="5" spans="2:10" ht="18" customHeight="1" x14ac:dyDescent="0.3">
      <c r="B5" s="4" t="s">
        <v>24</v>
      </c>
      <c r="C5" s="40" t="s">
        <v>25</v>
      </c>
      <c r="D5" s="44">
        <v>15</v>
      </c>
      <c r="E5" s="50">
        <v>1.2999999999999999E-3</v>
      </c>
      <c r="F5" s="47">
        <v>4.0000000000000002E-4</v>
      </c>
      <c r="G5" s="51">
        <v>2.9999999999999997E-4</v>
      </c>
      <c r="H5" s="47">
        <v>2.0000000000000001E-4</v>
      </c>
      <c r="I5" s="47">
        <v>2.9999999999999997E-4</v>
      </c>
      <c r="J5" s="39">
        <f t="shared" si="0"/>
        <v>5.0000000000000001E-4</v>
      </c>
    </row>
    <row r="6" spans="2:10" ht="18" customHeight="1" x14ac:dyDescent="0.3">
      <c r="B6" s="4" t="s">
        <v>24</v>
      </c>
      <c r="C6" s="40" t="s">
        <v>25</v>
      </c>
      <c r="D6" s="44">
        <v>20</v>
      </c>
      <c r="E6" s="46">
        <v>1.2999999999999999E-3</v>
      </c>
      <c r="F6" s="46">
        <v>4.0000000000000002E-4</v>
      </c>
      <c r="G6" s="46">
        <v>4.0000000000000002E-4</v>
      </c>
      <c r="H6" s="46">
        <v>2.9999999999999997E-4</v>
      </c>
      <c r="I6" s="52">
        <v>2.9999999999999997E-4</v>
      </c>
      <c r="J6" s="39">
        <f t="shared" si="0"/>
        <v>5.399999999999999E-4</v>
      </c>
    </row>
    <row r="7" spans="2:10" ht="18" customHeight="1" x14ac:dyDescent="0.3">
      <c r="B7" s="4" t="s">
        <v>24</v>
      </c>
      <c r="C7" s="40" t="s">
        <v>25</v>
      </c>
      <c r="D7" s="45">
        <v>25</v>
      </c>
      <c r="E7" s="47">
        <v>1.5009999999999999E-3</v>
      </c>
      <c r="F7" s="49">
        <v>5.9999999999999995E-4</v>
      </c>
      <c r="G7" s="46">
        <v>5.0000000000000001E-4</v>
      </c>
      <c r="H7" s="46">
        <v>4.0000000000000002E-4</v>
      </c>
      <c r="I7" s="46">
        <v>5.0000000000000001E-4</v>
      </c>
      <c r="J7" s="39">
        <f t="shared" si="0"/>
        <v>7.002E-4</v>
      </c>
    </row>
    <row r="8" spans="2:10" ht="18" customHeight="1" x14ac:dyDescent="0.3">
      <c r="B8" s="4" t="s">
        <v>24</v>
      </c>
      <c r="C8" s="5" t="s">
        <v>25</v>
      </c>
      <c r="D8" s="41">
        <v>30</v>
      </c>
      <c r="E8" s="47">
        <v>4.8999999999999998E-3</v>
      </c>
      <c r="F8" s="48">
        <v>3.7989999999999999E-3</v>
      </c>
      <c r="G8" s="46">
        <v>2.5000000000000001E-3</v>
      </c>
      <c r="H8" s="46">
        <v>3.3999999999999998E-3</v>
      </c>
      <c r="I8" s="43">
        <v>3.3E-3</v>
      </c>
      <c r="J8" s="39">
        <f t="shared" si="0"/>
        <v>3.5798000000000002E-3</v>
      </c>
    </row>
    <row r="9" spans="2:10" ht="18" customHeight="1" x14ac:dyDescent="0.3">
      <c r="B9" s="6" t="s">
        <v>24</v>
      </c>
      <c r="C9" s="7" t="s">
        <v>26</v>
      </c>
      <c r="D9" s="54">
        <v>5</v>
      </c>
      <c r="E9" s="46">
        <v>5.4999999999999997E-3</v>
      </c>
      <c r="F9" s="46">
        <v>4.0000000000000002E-4</v>
      </c>
      <c r="G9" s="46">
        <v>2.9999999999999997E-4</v>
      </c>
      <c r="H9" s="46">
        <v>2.9999999999999997E-4</v>
      </c>
      <c r="I9" s="46">
        <v>2.0000000000000001E-4</v>
      </c>
      <c r="J9" s="39">
        <f t="shared" si="0"/>
        <v>1.3399999999999998E-3</v>
      </c>
    </row>
    <row r="10" spans="2:10" ht="18" customHeight="1" x14ac:dyDescent="0.3">
      <c r="B10" s="6" t="s">
        <v>24</v>
      </c>
      <c r="C10" s="7" t="s">
        <v>26</v>
      </c>
      <c r="D10" s="54">
        <v>10</v>
      </c>
      <c r="E10" s="46">
        <v>1.5009999999999999E-3</v>
      </c>
      <c r="F10" s="46">
        <v>4.0000000000000002E-4</v>
      </c>
      <c r="G10" s="46">
        <v>4.0000000000000002E-4</v>
      </c>
      <c r="H10" s="46">
        <v>2.9999999999999997E-4</v>
      </c>
      <c r="I10" s="46">
        <v>4.0000000000000002E-4</v>
      </c>
      <c r="J10" s="39">
        <f t="shared" si="0"/>
        <v>6.0020000000000006E-4</v>
      </c>
    </row>
    <row r="11" spans="2:10" ht="18" customHeight="1" x14ac:dyDescent="0.3">
      <c r="B11" s="6" t="s">
        <v>24</v>
      </c>
      <c r="C11" s="7" t="s">
        <v>26</v>
      </c>
      <c r="D11" s="54">
        <v>15</v>
      </c>
      <c r="E11" s="46">
        <v>2.0999999999999999E-3</v>
      </c>
      <c r="F11" s="46">
        <v>5.9999999999999995E-4</v>
      </c>
      <c r="G11" s="46">
        <v>5.0000000000000001E-4</v>
      </c>
      <c r="H11" s="46">
        <v>1.5E-3</v>
      </c>
      <c r="I11" s="46">
        <v>5.0000000000000001E-4</v>
      </c>
      <c r="J11" s="39">
        <f t="shared" si="0"/>
        <v>1.0399999999999999E-3</v>
      </c>
    </row>
    <row r="12" spans="2:10" ht="18" customHeight="1" x14ac:dyDescent="0.3">
      <c r="B12" s="6" t="s">
        <v>24</v>
      </c>
      <c r="C12" s="7" t="s">
        <v>26</v>
      </c>
      <c r="D12" s="54">
        <v>20</v>
      </c>
      <c r="E12" s="46">
        <v>1.5E-3</v>
      </c>
      <c r="F12" s="46">
        <v>6.9999999999999999E-4</v>
      </c>
      <c r="G12" s="46">
        <v>6.9999999999999999E-4</v>
      </c>
      <c r="H12" s="46">
        <v>5.9999999999999995E-4</v>
      </c>
      <c r="I12" s="46">
        <v>5.9999999999999995E-4</v>
      </c>
      <c r="J12" s="39">
        <f t="shared" si="0"/>
        <v>8.2000000000000009E-4</v>
      </c>
    </row>
    <row r="13" spans="2:10" ht="18" customHeight="1" x14ac:dyDescent="0.3">
      <c r="B13" s="6" t="s">
        <v>24</v>
      </c>
      <c r="C13" s="7" t="s">
        <v>26</v>
      </c>
      <c r="D13" s="54">
        <v>25</v>
      </c>
      <c r="E13" s="46">
        <v>2.4989999999999999E-3</v>
      </c>
      <c r="F13" s="46">
        <v>8.9999999999999998E-4</v>
      </c>
      <c r="G13" s="46">
        <v>8.0099999999999995E-4</v>
      </c>
      <c r="H13" s="46">
        <v>8.0000000000000004E-4</v>
      </c>
      <c r="I13" s="46">
        <v>6.9999999999999999E-4</v>
      </c>
      <c r="J13" s="39">
        <f t="shared" si="0"/>
        <v>1.14E-3</v>
      </c>
    </row>
    <row r="14" spans="2:10" ht="18" customHeight="1" x14ac:dyDescent="0.3">
      <c r="B14" s="6" t="s">
        <v>24</v>
      </c>
      <c r="C14" s="7" t="s">
        <v>26</v>
      </c>
      <c r="D14" s="54">
        <v>30</v>
      </c>
      <c r="E14" s="46">
        <v>7.1999999999999998E-3</v>
      </c>
      <c r="F14" s="46">
        <v>1.8990000000000001E-3</v>
      </c>
      <c r="G14" s="46">
        <v>1.8E-3</v>
      </c>
      <c r="H14" s="46">
        <v>1.8010000000000001E-3</v>
      </c>
      <c r="I14" s="46">
        <v>2.1299999999999999E-2</v>
      </c>
      <c r="J14" s="39">
        <f t="shared" si="0"/>
        <v>6.8000000000000005E-3</v>
      </c>
    </row>
    <row r="16" spans="2:10" ht="18" customHeight="1" x14ac:dyDescent="0.3">
      <c r="B16" s="4" t="s">
        <v>27</v>
      </c>
      <c r="C16" s="5" t="s">
        <v>25</v>
      </c>
      <c r="D16" s="38">
        <v>5</v>
      </c>
      <c r="E16" s="46">
        <v>0.54079999999999995</v>
      </c>
      <c r="F16" s="46">
        <v>1E-3</v>
      </c>
      <c r="G16" s="46">
        <v>2.9999999999999997E-4</v>
      </c>
      <c r="H16" s="46">
        <v>2.0000000000000001E-4</v>
      </c>
      <c r="I16" s="46">
        <v>2.0000000000000001E-4</v>
      </c>
      <c r="J16" s="39">
        <f t="shared" ref="J16:J27" si="1">AVERAGE(E16:I16)</f>
        <v>0.10849999999999997</v>
      </c>
    </row>
    <row r="17" spans="2:10" ht="18" customHeight="1" x14ac:dyDescent="0.3">
      <c r="B17" s="4" t="s">
        <v>27</v>
      </c>
      <c r="C17" s="5" t="s">
        <v>25</v>
      </c>
      <c r="D17" s="38">
        <v>10</v>
      </c>
      <c r="E17" s="46">
        <v>1.1000000000000001E-3</v>
      </c>
      <c r="F17" s="46">
        <v>4.0000000000000002E-4</v>
      </c>
      <c r="G17" s="46">
        <v>3.9899999999999999E-4</v>
      </c>
      <c r="H17" s="46">
        <v>2.9999999999999997E-4</v>
      </c>
      <c r="I17" s="46">
        <v>2.0000000000000001E-4</v>
      </c>
      <c r="J17" s="39">
        <f t="shared" si="1"/>
        <v>4.7980000000000001E-4</v>
      </c>
    </row>
    <row r="18" spans="2:10" ht="18" customHeight="1" x14ac:dyDescent="0.3">
      <c r="B18" s="4" t="s">
        <v>27</v>
      </c>
      <c r="C18" s="5" t="s">
        <v>25</v>
      </c>
      <c r="D18" s="38">
        <v>15</v>
      </c>
      <c r="E18" s="46">
        <v>1.1000000000000001E-3</v>
      </c>
      <c r="F18" s="46">
        <v>5.0000000000000001E-4</v>
      </c>
      <c r="G18" s="46">
        <v>4.0000000000000002E-4</v>
      </c>
      <c r="H18" s="46">
        <v>2.9999999999999997E-4</v>
      </c>
      <c r="I18" s="46">
        <v>2.9999999999999997E-4</v>
      </c>
      <c r="J18" s="39">
        <f t="shared" si="1"/>
        <v>5.1999999999999995E-4</v>
      </c>
    </row>
    <row r="19" spans="2:10" ht="18" customHeight="1" x14ac:dyDescent="0.3">
      <c r="B19" s="4" t="s">
        <v>27</v>
      </c>
      <c r="C19" s="5" t="s">
        <v>25</v>
      </c>
      <c r="D19" s="38">
        <v>20</v>
      </c>
      <c r="E19" s="46">
        <v>1.1000000000000001E-3</v>
      </c>
      <c r="F19" s="46">
        <v>5.9999999999999995E-4</v>
      </c>
      <c r="G19" s="46">
        <v>4.0000000000000002E-4</v>
      </c>
      <c r="H19" s="46">
        <v>4.0000000000000002E-4</v>
      </c>
      <c r="I19" s="46">
        <v>2.9999999999999997E-4</v>
      </c>
      <c r="J19" s="39">
        <f t="shared" si="1"/>
        <v>5.6000000000000006E-4</v>
      </c>
    </row>
    <row r="20" spans="2:10" ht="18" customHeight="1" x14ac:dyDescent="0.3">
      <c r="B20" s="4" t="s">
        <v>27</v>
      </c>
      <c r="C20" s="5" t="s">
        <v>25</v>
      </c>
      <c r="D20" s="38">
        <v>25</v>
      </c>
      <c r="E20" s="46">
        <v>1.199E-3</v>
      </c>
      <c r="F20" s="46">
        <v>5.9999999999999995E-4</v>
      </c>
      <c r="G20" s="46">
        <v>5.0000000000000001E-4</v>
      </c>
      <c r="H20" s="46">
        <v>5.0000000000000001E-4</v>
      </c>
      <c r="I20" s="46">
        <v>5.0000000000000001E-4</v>
      </c>
      <c r="J20" s="39">
        <f t="shared" si="1"/>
        <v>6.5979999999999999E-4</v>
      </c>
    </row>
    <row r="21" spans="2:10" ht="18" customHeight="1" x14ac:dyDescent="0.3">
      <c r="B21" s="4" t="s">
        <v>27</v>
      </c>
      <c r="C21" s="5" t="s">
        <v>25</v>
      </c>
      <c r="D21" s="38">
        <v>30</v>
      </c>
      <c r="E21" s="46">
        <v>2.0999999999999999E-3</v>
      </c>
      <c r="F21" s="46">
        <v>2E-3</v>
      </c>
      <c r="G21" s="46">
        <v>1.4E-3</v>
      </c>
      <c r="H21" s="46">
        <v>1E-3</v>
      </c>
      <c r="I21" s="46">
        <v>8.9999999999999998E-4</v>
      </c>
      <c r="J21" s="39">
        <f t="shared" si="1"/>
        <v>1.48E-3</v>
      </c>
    </row>
    <row r="22" spans="2:10" ht="18" customHeight="1" x14ac:dyDescent="0.3">
      <c r="B22" s="6" t="s">
        <v>27</v>
      </c>
      <c r="C22" s="7" t="s">
        <v>26</v>
      </c>
      <c r="D22" s="54">
        <v>5</v>
      </c>
      <c r="E22" s="46">
        <v>5.5999999999999999E-3</v>
      </c>
      <c r="F22" s="46">
        <v>8.0000000000000004E-4</v>
      </c>
      <c r="G22" s="46">
        <v>5.0000000000000001E-4</v>
      </c>
      <c r="H22" s="46">
        <v>5.0000000000000001E-4</v>
      </c>
      <c r="I22" s="46">
        <v>5.0000000000000001E-4</v>
      </c>
      <c r="J22" s="39">
        <f t="shared" si="1"/>
        <v>1.5800000000000002E-3</v>
      </c>
    </row>
    <row r="23" spans="2:10" ht="18" customHeight="1" x14ac:dyDescent="0.3">
      <c r="B23" s="6" t="s">
        <v>27</v>
      </c>
      <c r="C23" s="7" t="s">
        <v>26</v>
      </c>
      <c r="D23" s="54">
        <v>10</v>
      </c>
      <c r="E23" s="46">
        <v>7.4999999999999997E-3</v>
      </c>
      <c r="F23" s="46">
        <v>5.7999999999999996E-3</v>
      </c>
      <c r="G23" s="46">
        <v>8.6E-3</v>
      </c>
      <c r="H23" s="46">
        <v>0.14319999999999999</v>
      </c>
      <c r="I23" s="46">
        <v>1.26E-2</v>
      </c>
      <c r="J23" s="39">
        <f t="shared" si="1"/>
        <v>3.5540000000000002E-2</v>
      </c>
    </row>
    <row r="24" spans="2:10" ht="18" customHeight="1" x14ac:dyDescent="0.3">
      <c r="B24" s="6" t="s">
        <v>27</v>
      </c>
      <c r="C24" s="7" t="s">
        <v>26</v>
      </c>
      <c r="D24" s="54">
        <v>15</v>
      </c>
      <c r="E24" s="46">
        <v>0.117199</v>
      </c>
      <c r="F24" s="46">
        <v>0.12370100000000001</v>
      </c>
      <c r="G24" s="46">
        <v>0.106099</v>
      </c>
      <c r="H24" s="46">
        <v>1.3799000000000001E-2</v>
      </c>
      <c r="I24" s="46">
        <v>1.6199999999999999E-2</v>
      </c>
      <c r="J24" s="39">
        <f t="shared" si="1"/>
        <v>7.5399599999999997E-2</v>
      </c>
    </row>
    <row r="25" spans="2:10" ht="18" customHeight="1" x14ac:dyDescent="0.3">
      <c r="B25" s="6" t="s">
        <v>27</v>
      </c>
      <c r="C25" s="7" t="s">
        <v>26</v>
      </c>
      <c r="D25" s="54">
        <v>20</v>
      </c>
      <c r="E25" s="46">
        <v>0.14080000000000001</v>
      </c>
      <c r="F25" s="46">
        <v>0.14410000000000001</v>
      </c>
      <c r="G25" s="46">
        <v>0.29970000000000002</v>
      </c>
      <c r="H25" s="46">
        <v>0.26760099999999998</v>
      </c>
      <c r="I25" s="46">
        <v>4.7600000000000003E-2</v>
      </c>
      <c r="J25" s="39">
        <f t="shared" si="1"/>
        <v>0.17996019999999999</v>
      </c>
    </row>
    <row r="26" spans="2:10" ht="18" customHeight="1" x14ac:dyDescent="0.3">
      <c r="B26" s="6" t="s">
        <v>27</v>
      </c>
      <c r="C26" s="7" t="s">
        <v>26</v>
      </c>
      <c r="D26" s="54">
        <v>25</v>
      </c>
      <c r="E26" s="46">
        <v>0.55140100000000003</v>
      </c>
      <c r="F26" s="46">
        <v>0.62129900000000005</v>
      </c>
      <c r="G26" s="46">
        <v>0.59319999999999995</v>
      </c>
      <c r="H26" s="46">
        <v>0.614201</v>
      </c>
      <c r="I26" s="46">
        <v>0.59130000000000005</v>
      </c>
      <c r="J26" s="39">
        <f t="shared" si="1"/>
        <v>0.59428019999999993</v>
      </c>
    </row>
    <row r="27" spans="2:10" ht="18" customHeight="1" x14ac:dyDescent="0.3">
      <c r="B27" s="6" t="s">
        <v>27</v>
      </c>
      <c r="C27" s="7" t="s">
        <v>26</v>
      </c>
      <c r="D27" s="54">
        <v>30</v>
      </c>
      <c r="E27" s="46">
        <v>6.5378999999999996</v>
      </c>
      <c r="F27" s="46">
        <v>4.3826010000000002</v>
      </c>
      <c r="G27" s="46">
        <v>5.1818010000000001</v>
      </c>
      <c r="H27" s="46">
        <v>4.0131009999999998</v>
      </c>
      <c r="I27" s="46">
        <v>3.9752999999999998</v>
      </c>
      <c r="J27" s="39">
        <f t="shared" si="1"/>
        <v>4.8181406000000004</v>
      </c>
    </row>
    <row r="29" spans="2:10" ht="18" customHeight="1" x14ac:dyDescent="0.3">
      <c r="B29" s="4" t="s">
        <v>28</v>
      </c>
      <c r="C29" s="5" t="s">
        <v>25</v>
      </c>
      <c r="D29" s="38">
        <v>100</v>
      </c>
      <c r="E29" s="46">
        <v>0.58530099999999996</v>
      </c>
      <c r="F29" s="46">
        <v>1.9E-3</v>
      </c>
      <c r="G29" s="46">
        <v>1.6000000000000001E-3</v>
      </c>
      <c r="H29" s="46">
        <v>1.4E-3</v>
      </c>
      <c r="I29" s="46">
        <v>1.5E-3</v>
      </c>
      <c r="J29" s="39">
        <f t="shared" ref="J29:J38" si="2">AVERAGE(E29:I29)</f>
        <v>0.11834019999999998</v>
      </c>
    </row>
    <row r="30" spans="2:10" ht="18" customHeight="1" x14ac:dyDescent="0.3">
      <c r="B30" s="4" t="s">
        <v>28</v>
      </c>
      <c r="C30" s="5" t="s">
        <v>25</v>
      </c>
      <c r="D30" s="38">
        <v>500</v>
      </c>
      <c r="E30" s="46">
        <v>7.7000000000000002E-3</v>
      </c>
      <c r="F30" s="46">
        <v>8.5990000000000007E-3</v>
      </c>
      <c r="G30" s="46">
        <v>7.0010000000000003E-3</v>
      </c>
      <c r="H30" s="46">
        <v>7.4000000000000003E-3</v>
      </c>
      <c r="I30" s="46">
        <v>6.8999999999999999E-3</v>
      </c>
      <c r="J30" s="39">
        <f t="shared" si="2"/>
        <v>7.5200000000000006E-3</v>
      </c>
    </row>
    <row r="31" spans="2:10" ht="18" customHeight="1" x14ac:dyDescent="0.3">
      <c r="B31" s="4" t="s">
        <v>28</v>
      </c>
      <c r="C31" s="5" t="s">
        <v>25</v>
      </c>
      <c r="D31" s="38">
        <v>1000</v>
      </c>
      <c r="E31" s="46">
        <v>1.8200000000000001E-2</v>
      </c>
      <c r="F31" s="46">
        <v>1.52E-2</v>
      </c>
      <c r="G31" s="46">
        <v>1.4200000000000001E-2</v>
      </c>
      <c r="H31" s="46">
        <v>1.4800000000000001E-2</v>
      </c>
      <c r="I31" s="46">
        <v>1.49E-2</v>
      </c>
      <c r="J31" s="39">
        <f t="shared" si="2"/>
        <v>1.5460000000000002E-2</v>
      </c>
    </row>
    <row r="32" spans="2:10" ht="18" customHeight="1" x14ac:dyDescent="0.3">
      <c r="B32" s="4" t="s">
        <v>28</v>
      </c>
      <c r="C32" s="5" t="s">
        <v>25</v>
      </c>
      <c r="D32" s="38">
        <v>5000</v>
      </c>
      <c r="E32" s="46">
        <v>7.2099999999999997E-2</v>
      </c>
      <c r="F32" s="46">
        <v>7.0499999999999993E-2</v>
      </c>
      <c r="G32" s="46">
        <v>8.6099999999999996E-2</v>
      </c>
      <c r="H32" s="46">
        <v>7.8999E-2</v>
      </c>
      <c r="I32" s="46">
        <v>7.1401000000000006E-2</v>
      </c>
      <c r="J32" s="39">
        <f t="shared" si="2"/>
        <v>7.5819999999999999E-2</v>
      </c>
    </row>
    <row r="33" spans="2:10" ht="18" customHeight="1" x14ac:dyDescent="0.3">
      <c r="B33" s="4" t="s">
        <v>28</v>
      </c>
      <c r="C33" s="5" t="s">
        <v>25</v>
      </c>
      <c r="D33" s="38">
        <v>10000</v>
      </c>
      <c r="E33" s="46">
        <v>0.27360000000000001</v>
      </c>
      <c r="F33" s="46">
        <v>0.1893</v>
      </c>
      <c r="G33" s="46">
        <v>0.14269899999999999</v>
      </c>
      <c r="H33" s="46">
        <v>0.14130100000000001</v>
      </c>
      <c r="I33" s="46">
        <v>0.4148</v>
      </c>
      <c r="J33" s="39">
        <f t="shared" si="2"/>
        <v>0.23233999999999999</v>
      </c>
    </row>
    <row r="34" spans="2:10" ht="18" customHeight="1" x14ac:dyDescent="0.3">
      <c r="B34" s="6" t="s">
        <v>28</v>
      </c>
      <c r="C34" s="7" t="s">
        <v>26</v>
      </c>
      <c r="D34" s="54">
        <v>100</v>
      </c>
      <c r="E34" s="46">
        <v>8.5990000000000007E-3</v>
      </c>
      <c r="F34" s="46">
        <v>4.901E-3</v>
      </c>
      <c r="G34" s="46">
        <v>4.1000000000000003E-3</v>
      </c>
      <c r="H34" s="46">
        <v>3.699E-3</v>
      </c>
      <c r="I34" s="46">
        <v>3.5010000000000002E-3</v>
      </c>
      <c r="J34" s="39">
        <f t="shared" si="2"/>
        <v>4.9600000000000009E-3</v>
      </c>
    </row>
    <row r="35" spans="2:10" ht="18" customHeight="1" x14ac:dyDescent="0.3">
      <c r="B35" s="6" t="s">
        <v>28</v>
      </c>
      <c r="C35" s="7" t="s">
        <v>26</v>
      </c>
      <c r="D35" s="54">
        <v>500</v>
      </c>
      <c r="E35" s="46">
        <v>0.12659899999999999</v>
      </c>
      <c r="F35" s="46">
        <v>7.9299999999999995E-2</v>
      </c>
      <c r="G35" s="46">
        <v>0.1048</v>
      </c>
      <c r="H35" s="46">
        <v>2.9700000000000001E-2</v>
      </c>
      <c r="I35" s="46">
        <v>5.3699999999999998E-2</v>
      </c>
      <c r="J35" s="39">
        <f t="shared" si="2"/>
        <v>7.8819799999999995E-2</v>
      </c>
    </row>
    <row r="36" spans="2:10" ht="18" customHeight="1" x14ac:dyDescent="0.3">
      <c r="B36" s="6" t="s">
        <v>28</v>
      </c>
      <c r="C36" s="7" t="s">
        <v>26</v>
      </c>
      <c r="D36" s="54">
        <v>1000</v>
      </c>
      <c r="E36" s="46">
        <v>0.1648</v>
      </c>
      <c r="F36" s="46">
        <v>7.2899000000000005E-2</v>
      </c>
      <c r="G36" s="46">
        <v>7.9700999999999994E-2</v>
      </c>
      <c r="H36" s="46">
        <v>5.9499999999999997E-2</v>
      </c>
      <c r="I36" s="46">
        <v>6.6699999999999995E-2</v>
      </c>
      <c r="J36" s="39">
        <f t="shared" si="2"/>
        <v>8.8719999999999993E-2</v>
      </c>
    </row>
    <row r="37" spans="2:10" ht="18" customHeight="1" x14ac:dyDescent="0.3">
      <c r="B37" s="6" t="s">
        <v>28</v>
      </c>
      <c r="C37" s="7" t="s">
        <v>26</v>
      </c>
      <c r="D37" s="54">
        <v>5000</v>
      </c>
      <c r="E37" s="46">
        <v>0.26669999999999999</v>
      </c>
      <c r="F37" s="46">
        <v>2.3699999999999999E-2</v>
      </c>
      <c r="G37" s="46">
        <v>2.1999000000000001E-2</v>
      </c>
      <c r="H37" s="46">
        <v>2.2800999999999998E-2</v>
      </c>
      <c r="I37" s="46">
        <v>2.3598999999999998E-2</v>
      </c>
      <c r="J37" s="39">
        <f t="shared" si="2"/>
        <v>7.1759799999999999E-2</v>
      </c>
    </row>
    <row r="38" spans="2:10" ht="18" customHeight="1" x14ac:dyDescent="0.3">
      <c r="B38" s="6" t="s">
        <v>28</v>
      </c>
      <c r="C38" s="7" t="s">
        <v>26</v>
      </c>
      <c r="D38" s="54">
        <v>10000</v>
      </c>
      <c r="E38" s="46">
        <v>0.1363</v>
      </c>
      <c r="F38" s="46">
        <v>2.8098999999999999E-2</v>
      </c>
      <c r="G38" s="46">
        <v>2.6901000000000001E-2</v>
      </c>
      <c r="H38" s="46">
        <v>3.4199E-2</v>
      </c>
      <c r="I38" s="46">
        <v>2.7300999999999999E-2</v>
      </c>
      <c r="J38" s="39">
        <f t="shared" si="2"/>
        <v>5.0560000000000008E-2</v>
      </c>
    </row>
    <row r="40" spans="2:10" ht="18" customHeight="1" x14ac:dyDescent="0.3">
      <c r="B40" s="4" t="s">
        <v>29</v>
      </c>
      <c r="C40" s="5" t="s">
        <v>25</v>
      </c>
      <c r="D40" s="38">
        <v>100</v>
      </c>
      <c r="E40" s="46">
        <v>0.79869999999999997</v>
      </c>
      <c r="F40" s="46">
        <v>0.1464</v>
      </c>
      <c r="G40" s="46">
        <v>0.20099900000000001</v>
      </c>
      <c r="H40" s="46">
        <v>0.14710100000000001</v>
      </c>
      <c r="I40" s="46">
        <v>0.24149999999999999</v>
      </c>
      <c r="J40" s="39">
        <f t="shared" ref="J40:J49" si="3">AVERAGE(E40:I40)</f>
        <v>0.30693999999999999</v>
      </c>
    </row>
    <row r="41" spans="2:10" ht="18" customHeight="1" x14ac:dyDescent="0.3">
      <c r="B41" s="4" t="s">
        <v>29</v>
      </c>
      <c r="C41" s="5" t="s">
        <v>25</v>
      </c>
      <c r="D41" s="38">
        <v>500</v>
      </c>
      <c r="E41" s="46">
        <v>3.559501</v>
      </c>
      <c r="F41" s="46">
        <v>1.3516010000000001</v>
      </c>
      <c r="G41" s="46">
        <v>0.848499</v>
      </c>
      <c r="H41" s="46">
        <v>0.84690100000000001</v>
      </c>
      <c r="I41" s="46">
        <v>0.96479999999999999</v>
      </c>
      <c r="J41" s="39">
        <f t="shared" si="3"/>
        <v>1.5142604</v>
      </c>
    </row>
    <row r="42" spans="2:10" ht="18" customHeight="1" x14ac:dyDescent="0.3">
      <c r="B42" s="4" t="s">
        <v>29</v>
      </c>
      <c r="C42" s="5" t="s">
        <v>25</v>
      </c>
      <c r="D42" s="38">
        <v>1000</v>
      </c>
      <c r="E42" s="46">
        <v>1.1464000000000001</v>
      </c>
      <c r="F42" s="46">
        <v>0.99690000000000001</v>
      </c>
      <c r="G42" s="46">
        <v>1.0025999999999999</v>
      </c>
      <c r="H42" s="46">
        <v>1.2943</v>
      </c>
      <c r="I42" s="46">
        <v>1.3259989999999999</v>
      </c>
      <c r="J42" s="39">
        <f t="shared" si="3"/>
        <v>1.1532398000000001</v>
      </c>
    </row>
    <row r="43" spans="2:10" ht="18" customHeight="1" x14ac:dyDescent="0.3">
      <c r="B43" s="4" t="s">
        <v>29</v>
      </c>
      <c r="C43" s="5" t="s">
        <v>25</v>
      </c>
      <c r="D43" s="38">
        <v>5000</v>
      </c>
      <c r="E43" s="46">
        <v>26.4251</v>
      </c>
      <c r="F43" s="46">
        <v>25.965700999999999</v>
      </c>
      <c r="G43" s="46">
        <v>30.361899999999999</v>
      </c>
      <c r="H43" s="46">
        <v>26.140899999999998</v>
      </c>
      <c r="I43" s="46">
        <v>29.9148</v>
      </c>
      <c r="J43" s="39">
        <f t="shared" si="3"/>
        <v>27.761680200000001</v>
      </c>
    </row>
    <row r="44" spans="2:10" ht="18" customHeight="1" x14ac:dyDescent="0.3">
      <c r="B44" s="4" t="s">
        <v>29</v>
      </c>
      <c r="C44" s="5" t="s">
        <v>25</v>
      </c>
      <c r="D44" s="38">
        <v>10000</v>
      </c>
      <c r="E44" s="46">
        <v>137.9529</v>
      </c>
      <c r="F44" s="46">
        <v>137.167801</v>
      </c>
      <c r="G44" s="46">
        <v>134.696201</v>
      </c>
      <c r="H44" s="46">
        <v>135.77690000000001</v>
      </c>
      <c r="I44" s="46">
        <v>128.18929900000001</v>
      </c>
      <c r="J44" s="39">
        <f t="shared" si="3"/>
        <v>134.75662020000001</v>
      </c>
    </row>
    <row r="45" spans="2:10" ht="18" customHeight="1" x14ac:dyDescent="0.3">
      <c r="B45" s="6" t="s">
        <v>29</v>
      </c>
      <c r="C45" s="7" t="s">
        <v>26</v>
      </c>
      <c r="D45" s="54">
        <v>100</v>
      </c>
      <c r="E45" s="46">
        <v>0.1507</v>
      </c>
      <c r="F45" s="46">
        <v>0.19350000000000001</v>
      </c>
      <c r="G45" s="46">
        <v>7.8200000000000006E-2</v>
      </c>
      <c r="H45" s="46">
        <v>2.8299999999999999E-2</v>
      </c>
      <c r="I45" s="46">
        <v>2.7099000000000002E-2</v>
      </c>
      <c r="J45" s="39">
        <f t="shared" si="3"/>
        <v>9.55598E-2</v>
      </c>
    </row>
    <row r="46" spans="2:10" ht="18" customHeight="1" x14ac:dyDescent="0.3">
      <c r="B46" s="6" t="s">
        <v>29</v>
      </c>
      <c r="C46" s="7" t="s">
        <v>26</v>
      </c>
      <c r="D46" s="54">
        <v>500</v>
      </c>
      <c r="E46" s="46">
        <v>1.2164010000000001</v>
      </c>
      <c r="F46" s="46">
        <v>0.87070000000000003</v>
      </c>
      <c r="G46" s="46">
        <v>1.4387989999999999</v>
      </c>
      <c r="H46" s="46">
        <v>1.1621999999999999</v>
      </c>
      <c r="I46" s="46">
        <v>1.3754999999999999</v>
      </c>
      <c r="J46" s="39">
        <f t="shared" si="3"/>
        <v>1.21272</v>
      </c>
    </row>
    <row r="47" spans="2:10" ht="18" customHeight="1" x14ac:dyDescent="0.3">
      <c r="B47" s="6" t="s">
        <v>29</v>
      </c>
      <c r="C47" s="7" t="s">
        <v>26</v>
      </c>
      <c r="D47" s="54">
        <v>1000</v>
      </c>
      <c r="E47" s="46">
        <v>3.8378999999999999</v>
      </c>
      <c r="F47" s="46">
        <v>3.6310009999999999</v>
      </c>
      <c r="G47" s="46">
        <v>7.0544989999999999</v>
      </c>
      <c r="H47" s="46">
        <v>1.7736000000000001</v>
      </c>
      <c r="I47" s="46">
        <v>1.0403009999999999</v>
      </c>
      <c r="J47" s="39">
        <f t="shared" si="3"/>
        <v>3.4674601999999992</v>
      </c>
    </row>
    <row r="48" spans="2:10" ht="18" customHeight="1" x14ac:dyDescent="0.3">
      <c r="B48" s="6" t="s">
        <v>29</v>
      </c>
      <c r="C48" s="7" t="s">
        <v>26</v>
      </c>
      <c r="D48" s="54">
        <v>5000</v>
      </c>
      <c r="E48" s="46">
        <v>28.942299999999999</v>
      </c>
      <c r="F48" s="46">
        <v>26.816199999999998</v>
      </c>
      <c r="G48" s="46">
        <v>32.281700000000001</v>
      </c>
      <c r="H48" s="46">
        <v>30.953201</v>
      </c>
      <c r="I48" s="46">
        <v>27.480499999999999</v>
      </c>
      <c r="J48" s="39">
        <f t="shared" si="3"/>
        <v>29.294780200000002</v>
      </c>
    </row>
    <row r="49" spans="2:10" ht="18" customHeight="1" x14ac:dyDescent="0.3">
      <c r="B49" s="6" t="s">
        <v>29</v>
      </c>
      <c r="C49" s="7" t="s">
        <v>26</v>
      </c>
      <c r="D49" s="54">
        <v>10000</v>
      </c>
      <c r="E49" s="46">
        <v>161.11760100000001</v>
      </c>
      <c r="F49" s="46">
        <v>132.47470000000001</v>
      </c>
      <c r="G49" s="46">
        <v>145.4348</v>
      </c>
      <c r="H49" s="46">
        <v>136.5675</v>
      </c>
      <c r="I49" s="46">
        <v>137.7928</v>
      </c>
      <c r="J49" s="39">
        <f t="shared" si="3"/>
        <v>142.67748019999999</v>
      </c>
    </row>
    <row r="52" spans="2:10" ht="14.4" x14ac:dyDescent="0.3">
      <c r="B52" s="32" t="s">
        <v>30</v>
      </c>
      <c r="C52" s="32"/>
      <c r="D52" s="32"/>
      <c r="E52" s="32"/>
      <c r="F52" s="32"/>
      <c r="G52" s="32"/>
      <c r="H52" s="32"/>
      <c r="I52" s="32"/>
      <c r="J52" s="32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topLeftCell="A4" zoomScaleNormal="100" workbookViewId="0">
      <selection activeCell="W17" sqref="W17"/>
    </sheetView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1" t="s">
        <v>31</v>
      </c>
      <c r="C1" s="31"/>
      <c r="D1" s="31"/>
    </row>
    <row r="2" spans="2:4" ht="21.75" customHeight="1" x14ac:dyDescent="0.3">
      <c r="B2" s="4" t="s">
        <v>32</v>
      </c>
      <c r="C2" s="8" t="s">
        <v>33</v>
      </c>
      <c r="D2" s="8" t="s">
        <v>34</v>
      </c>
    </row>
    <row r="3" spans="2:4" ht="9.75" customHeight="1" x14ac:dyDescent="0.3"/>
    <row r="4" spans="2:4" ht="30" customHeight="1" x14ac:dyDescent="0.3">
      <c r="B4" s="2" t="s">
        <v>17</v>
      </c>
      <c r="C4" s="2" t="s">
        <v>35</v>
      </c>
      <c r="D4" s="3" t="s">
        <v>36</v>
      </c>
    </row>
    <row r="5" spans="2:4" ht="19.5" customHeight="1" x14ac:dyDescent="0.3">
      <c r="B5" s="9">
        <v>5</v>
      </c>
      <c r="C5" s="10">
        <f>AVERAGEIFS('1. Datos_Crudos'!$J:$J,'1. Datos_Crudos'!$B:$B,"A1 - Factorial",'1. Datos_Crudos'!$C:$C,"Iterativo",'1. Datos_Crudos'!$D:$D,B5)</f>
        <v>0.13276019999999999</v>
      </c>
      <c r="D5" s="11">
        <f>AVERAGEIFS('1. Datos_Crudos'!$J:$J,'1. Datos_Crudos'!$B:$B,"A1 - Factorial",'1. Datos_Crudos'!$C:$C,"Recursivo",'1. Datos_Crudos'!$D:$D,B5)</f>
        <v>1.3399999999999998E-3</v>
      </c>
    </row>
    <row r="6" spans="2:4" ht="19.5" customHeight="1" x14ac:dyDescent="0.3">
      <c r="B6" s="12">
        <v>10</v>
      </c>
      <c r="C6" s="13">
        <f>AVERAGEIFS('1. Datos_Crudos'!$J:$J,'1. Datos_Crudos'!$B:$B,"A1 - Factorial",'1. Datos_Crudos'!$C:$C,"Iterativo",'1. Datos_Crudos'!$D:$D,B6)</f>
        <v>4.2000000000000007E-4</v>
      </c>
      <c r="D6" s="14">
        <f>AVERAGEIFS('1. Datos_Crudos'!$J:$J,'1. Datos_Crudos'!$B:$B,"A1 - Factorial",'1. Datos_Crudos'!$C:$C,"Recursivo",'1. Datos_Crudos'!$D:$D,B6)</f>
        <v>6.0020000000000006E-4</v>
      </c>
    </row>
    <row r="7" spans="2:4" ht="19.5" customHeight="1" x14ac:dyDescent="0.3">
      <c r="B7" s="9">
        <v>15</v>
      </c>
      <c r="C7" s="10">
        <f>AVERAGEIFS('1. Datos_Crudos'!$J:$J,'1. Datos_Crudos'!$B:$B,"A1 - Factorial",'1. Datos_Crudos'!$C:$C,"Iterativo",'1. Datos_Crudos'!$D:$D,B7)</f>
        <v>5.0000000000000001E-4</v>
      </c>
      <c r="D7" s="11">
        <f>AVERAGEIFS('1. Datos_Crudos'!$J:$J,'1. Datos_Crudos'!$B:$B,"A1 - Factorial",'1. Datos_Crudos'!$C:$C,"Recursivo",'1. Datos_Crudos'!$D:$D,B7)</f>
        <v>1.0399999999999999E-3</v>
      </c>
    </row>
    <row r="8" spans="2:4" ht="19.5" customHeight="1" x14ac:dyDescent="0.3">
      <c r="B8" s="12">
        <v>20</v>
      </c>
      <c r="C8" s="13">
        <f>AVERAGEIFS('1. Datos_Crudos'!$J:$J,'1. Datos_Crudos'!$B:$B,"A1 - Factorial",'1. Datos_Crudos'!$C:$C,"Iterativo",'1. Datos_Crudos'!$D:$D,B8)</f>
        <v>5.399999999999999E-4</v>
      </c>
      <c r="D8" s="14">
        <f>AVERAGEIFS('1. Datos_Crudos'!$J:$J,'1. Datos_Crudos'!$B:$B,"A1 - Factorial",'1. Datos_Crudos'!$C:$C,"Recursivo",'1. Datos_Crudos'!$D:$D,B8)</f>
        <v>8.2000000000000009E-4</v>
      </c>
    </row>
    <row r="9" spans="2:4" ht="19.5" customHeight="1" x14ac:dyDescent="0.3">
      <c r="B9" s="9">
        <v>25</v>
      </c>
      <c r="C9" s="10">
        <f>AVERAGEIFS('1. Datos_Crudos'!$J:$J,'1. Datos_Crudos'!$B:$B,"A1 - Factorial",'1. Datos_Crudos'!$C:$C,"Iterativo",'1. Datos_Crudos'!$D:$D,B9)</f>
        <v>7.002E-4</v>
      </c>
      <c r="D9" s="11">
        <f>AVERAGEIFS('1. Datos_Crudos'!$J:$J,'1. Datos_Crudos'!$B:$B,"A1 - Factorial",'1. Datos_Crudos'!$C:$C,"Recursivo",'1. Datos_Crudos'!$D:$D,B9)</f>
        <v>1.14E-3</v>
      </c>
    </row>
    <row r="10" spans="2:4" ht="19.5" customHeight="1" x14ac:dyDescent="0.3">
      <c r="B10" s="12">
        <v>30</v>
      </c>
      <c r="C10" s="13">
        <f>AVERAGEIFS('1. Datos_Crudos'!$J:$J,'1. Datos_Crudos'!$B:$B,"A1 - Factorial",'1. Datos_Crudos'!$C:$C,"Iterativo",'1. Datos_Crudos'!$D:$D,B10)</f>
        <v>3.5798000000000002E-3</v>
      </c>
      <c r="D10" s="14">
        <f>AVERAGEIFS('1. Datos_Crudos'!$J:$J,'1. Datos_Crudos'!$B:$B,"A1 - Factorial",'1. Datos_Crudos'!$C:$C,"Recursivo",'1. Datos_Crudos'!$D:$D,B10)</f>
        <v>6.8000000000000005E-3</v>
      </c>
    </row>
    <row r="12" spans="2:4" ht="39.75" customHeight="1" x14ac:dyDescent="0.3">
      <c r="B12" s="33" t="s">
        <v>37</v>
      </c>
      <c r="C12" s="33"/>
      <c r="D12" s="33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topLeftCell="A8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1" t="s">
        <v>38</v>
      </c>
      <c r="C1" s="31"/>
      <c r="D1" s="31"/>
    </row>
    <row r="2" spans="2:4" ht="21.75" customHeight="1" x14ac:dyDescent="0.3">
      <c r="B2" s="4" t="s">
        <v>32</v>
      </c>
      <c r="C2" s="8" t="s">
        <v>33</v>
      </c>
      <c r="D2" s="15" t="s">
        <v>39</v>
      </c>
    </row>
    <row r="3" spans="2:4" ht="9.75" customHeight="1" x14ac:dyDescent="0.3"/>
    <row r="4" spans="2:4" ht="30" customHeight="1" x14ac:dyDescent="0.3">
      <c r="B4" s="2" t="s">
        <v>17</v>
      </c>
      <c r="C4" s="2" t="s">
        <v>35</v>
      </c>
      <c r="D4" s="3" t="s">
        <v>40</v>
      </c>
    </row>
    <row r="5" spans="2:4" ht="19.5" customHeight="1" x14ac:dyDescent="0.3">
      <c r="B5" s="9">
        <v>5</v>
      </c>
      <c r="C5" s="10">
        <f>AVERAGEIFS('1. Datos_Crudos'!$J:$J,'1. Datos_Crudos'!$B:$B,"A2 - Fibonacci",'1. Datos_Crudos'!$C:$C,"Iterativo",'1. Datos_Crudos'!$D:$D,B5)</f>
        <v>0.10849999999999997</v>
      </c>
      <c r="D5" s="16">
        <f>AVERAGEIFS('1. Datos_Crudos'!$J:$J,'1. Datos_Crudos'!$B:$B,"A2 - Fibonacci",'1. Datos_Crudos'!$C:$C,"Recursivo",'1. Datos_Crudos'!$D:$D,B5)</f>
        <v>1.5800000000000002E-3</v>
      </c>
    </row>
    <row r="6" spans="2:4" ht="19.5" customHeight="1" x14ac:dyDescent="0.3">
      <c r="B6" s="12">
        <v>10</v>
      </c>
      <c r="C6" s="13">
        <f>AVERAGEIFS('1. Datos_Crudos'!$J:$J,'1. Datos_Crudos'!$B:$B,"A2 - Fibonacci",'1. Datos_Crudos'!$C:$C,"Iterativo",'1. Datos_Crudos'!$D:$D,B6)</f>
        <v>4.7980000000000001E-4</v>
      </c>
      <c r="D6" s="17">
        <f>AVERAGEIFS('1. Datos_Crudos'!$J:$J,'1. Datos_Crudos'!$B:$B,"A2 - Fibonacci",'1. Datos_Crudos'!$C:$C,"Recursivo",'1. Datos_Crudos'!$D:$D,B6)</f>
        <v>3.5540000000000002E-2</v>
      </c>
    </row>
    <row r="7" spans="2:4" ht="19.5" customHeight="1" x14ac:dyDescent="0.3">
      <c r="B7" s="9">
        <v>15</v>
      </c>
      <c r="C7" s="10">
        <f>AVERAGEIFS('1. Datos_Crudos'!$J:$J,'1. Datos_Crudos'!$B:$B,"A2 - Fibonacci",'1. Datos_Crudos'!$C:$C,"Iterativo",'1. Datos_Crudos'!$D:$D,B7)</f>
        <v>5.1999999999999995E-4</v>
      </c>
      <c r="D7" s="16">
        <f>AVERAGEIFS('1. Datos_Crudos'!$J:$J,'1. Datos_Crudos'!$B:$B,"A2 - Fibonacci",'1. Datos_Crudos'!$C:$C,"Recursivo",'1. Datos_Crudos'!$D:$D,B7)</f>
        <v>7.5399599999999997E-2</v>
      </c>
    </row>
    <row r="8" spans="2:4" ht="19.5" customHeight="1" x14ac:dyDescent="0.3">
      <c r="B8" s="12">
        <v>20</v>
      </c>
      <c r="C8" s="13">
        <f>AVERAGEIFS('1. Datos_Crudos'!$J:$J,'1. Datos_Crudos'!$B:$B,"A2 - Fibonacci",'1. Datos_Crudos'!$C:$C,"Iterativo",'1. Datos_Crudos'!$D:$D,B8)</f>
        <v>5.6000000000000006E-4</v>
      </c>
      <c r="D8" s="17">
        <f>AVERAGEIFS('1. Datos_Crudos'!$J:$J,'1. Datos_Crudos'!$B:$B,"A2 - Fibonacci",'1. Datos_Crudos'!$C:$C,"Recursivo",'1. Datos_Crudos'!$D:$D,B8)</f>
        <v>0.17996019999999999</v>
      </c>
    </row>
    <row r="9" spans="2:4" ht="19.5" customHeight="1" x14ac:dyDescent="0.3">
      <c r="B9" s="9">
        <v>25</v>
      </c>
      <c r="C9" s="10">
        <f>AVERAGEIFS('1. Datos_Crudos'!$J:$J,'1. Datos_Crudos'!$B:$B,"A2 - Fibonacci",'1. Datos_Crudos'!$C:$C,"Iterativo",'1. Datos_Crudos'!$D:$D,B9)</f>
        <v>6.5979999999999999E-4</v>
      </c>
      <c r="D9" s="16">
        <f>AVERAGEIFS('1. Datos_Crudos'!$J:$J,'1. Datos_Crudos'!$B:$B,"A2 - Fibonacci",'1. Datos_Crudos'!$C:$C,"Recursivo",'1. Datos_Crudos'!$D:$D,B9)</f>
        <v>0.59428019999999993</v>
      </c>
    </row>
    <row r="10" spans="2:4" ht="19.5" customHeight="1" x14ac:dyDescent="0.3">
      <c r="B10" s="12">
        <v>30</v>
      </c>
      <c r="C10" s="13">
        <f>AVERAGEIFS('1. Datos_Crudos'!$J:$J,'1. Datos_Crudos'!$B:$B,"A2 - Fibonacci",'1. Datos_Crudos'!$C:$C,"Iterativo",'1. Datos_Crudos'!$D:$D,B10)</f>
        <v>1.48E-3</v>
      </c>
      <c r="D10" s="17">
        <f>AVERAGEIFS('1. Datos_Crudos'!$J:$J,'1. Datos_Crudos'!$B:$B,"A2 - Fibonacci",'1. Datos_Crudos'!$C:$C,"Recursivo",'1. Datos_Crudos'!$D:$D,B10)</f>
        <v>4.8181406000000004</v>
      </c>
    </row>
    <row r="12" spans="2:4" ht="39.75" customHeight="1" x14ac:dyDescent="0.3">
      <c r="B12" s="33" t="s">
        <v>41</v>
      </c>
      <c r="C12" s="33"/>
      <c r="D12" s="33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topLeftCell="A2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1" t="s">
        <v>42</v>
      </c>
      <c r="C1" s="31"/>
      <c r="D1" s="31"/>
    </row>
    <row r="2" spans="2:4" ht="21.75" customHeight="1" x14ac:dyDescent="0.3">
      <c r="B2" s="4" t="s">
        <v>32</v>
      </c>
      <c r="C2" s="8" t="s">
        <v>33</v>
      </c>
      <c r="D2" s="8" t="s">
        <v>34</v>
      </c>
    </row>
    <row r="3" spans="2:4" ht="9.75" customHeight="1" x14ac:dyDescent="0.3"/>
    <row r="4" spans="2:4" ht="30" customHeight="1" x14ac:dyDescent="0.3">
      <c r="B4" s="2" t="s">
        <v>17</v>
      </c>
      <c r="C4" s="2" t="s">
        <v>35</v>
      </c>
      <c r="D4" s="3" t="s">
        <v>36</v>
      </c>
    </row>
    <row r="5" spans="2:4" ht="19.5" customHeight="1" x14ac:dyDescent="0.3">
      <c r="B5" s="9">
        <v>100</v>
      </c>
      <c r="C5" s="10">
        <f>AVERAGEIFS('1. Datos_Crudos'!$J:$J,'1. Datos_Crudos'!$B:$B,"A3 - Busqueda Lineal",'1. Datos_Crudos'!$C:$C,"Iterativo",'1. Datos_Crudos'!$D:$D,B5)</f>
        <v>0.11834019999999998</v>
      </c>
      <c r="D5" s="11">
        <f>AVERAGEIFS('1. Datos_Crudos'!$J:$J,'1. Datos_Crudos'!$B:$B,"A3 - Busqueda Lineal",'1. Datos_Crudos'!$C:$C,"Recursivo",'1. Datos_Crudos'!$D:$D,B5)</f>
        <v>4.9600000000000009E-3</v>
      </c>
    </row>
    <row r="6" spans="2:4" ht="19.5" customHeight="1" x14ac:dyDescent="0.3">
      <c r="B6" s="12">
        <v>500</v>
      </c>
      <c r="C6" s="13">
        <f>AVERAGEIFS('1. Datos_Crudos'!$J:$J,'1. Datos_Crudos'!$B:$B,"A3 - Busqueda Lineal",'1. Datos_Crudos'!$C:$C,"Iterativo",'1. Datos_Crudos'!$D:$D,B6)</f>
        <v>7.5200000000000006E-3</v>
      </c>
      <c r="D6" s="14">
        <f>AVERAGEIFS('1. Datos_Crudos'!$J:$J,'1. Datos_Crudos'!$B:$B,"A3 - Busqueda Lineal",'1. Datos_Crudos'!$C:$C,"Recursivo",'1. Datos_Crudos'!$D:$D,B6)</f>
        <v>7.8819799999999995E-2</v>
      </c>
    </row>
    <row r="7" spans="2:4" ht="19.5" customHeight="1" x14ac:dyDescent="0.3">
      <c r="B7" s="9">
        <v>1000</v>
      </c>
      <c r="C7" s="10">
        <f>AVERAGEIFS('1. Datos_Crudos'!$J:$J,'1. Datos_Crudos'!$B:$B,"A3 - Busqueda Lineal",'1. Datos_Crudos'!$C:$C,"Iterativo",'1. Datos_Crudos'!$D:$D,B7)</f>
        <v>1.5460000000000002E-2</v>
      </c>
      <c r="D7" s="11">
        <f>AVERAGEIFS('1. Datos_Crudos'!$J:$J,'1. Datos_Crudos'!$B:$B,"A3 - Busqueda Lineal",'1. Datos_Crudos'!$C:$C,"Recursivo",'1. Datos_Crudos'!$D:$D,B7)</f>
        <v>8.8719999999999993E-2</v>
      </c>
    </row>
    <row r="8" spans="2:4" ht="19.5" customHeight="1" x14ac:dyDescent="0.3">
      <c r="B8" s="12">
        <v>5000</v>
      </c>
      <c r="C8" s="13">
        <f>AVERAGEIFS('1. Datos_Crudos'!$J:$J,'1. Datos_Crudos'!$B:$B,"A3 - Busqueda Lineal",'1. Datos_Crudos'!$C:$C,"Iterativo",'1. Datos_Crudos'!$D:$D,B8)</f>
        <v>7.5819999999999999E-2</v>
      </c>
      <c r="D8" s="14">
        <f>AVERAGEIFS('1. Datos_Crudos'!$J:$J,'1. Datos_Crudos'!$B:$B,"A3 - Busqueda Lineal",'1. Datos_Crudos'!$C:$C,"Recursivo",'1. Datos_Crudos'!$D:$D,B8)</f>
        <v>7.1759799999999999E-2</v>
      </c>
    </row>
    <row r="9" spans="2:4" ht="19.5" customHeight="1" x14ac:dyDescent="0.3">
      <c r="B9" s="9">
        <v>10000</v>
      </c>
      <c r="C9" s="10">
        <f>AVERAGEIFS('1. Datos_Crudos'!$J:$J,'1. Datos_Crudos'!$B:$B,"A3 - Busqueda Lineal",'1. Datos_Crudos'!$C:$C,"Iterativo",'1. Datos_Crudos'!$D:$D,B9)</f>
        <v>0.23233999999999999</v>
      </c>
      <c r="D9" s="11">
        <f>AVERAGEIFS('1. Datos_Crudos'!$J:$J,'1. Datos_Crudos'!$B:$B,"A3 - Busqueda Lineal",'1. Datos_Crudos'!$C:$C,"Recursivo",'1. Datos_Crudos'!$D:$D,B9)</f>
        <v>5.0560000000000008E-2</v>
      </c>
    </row>
    <row r="11" spans="2:4" ht="39.75" customHeight="1" x14ac:dyDescent="0.3">
      <c r="B11" s="33" t="s">
        <v>43</v>
      </c>
      <c r="C11" s="33"/>
      <c r="D11" s="33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tabSelected="1" topLeftCell="A2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1" t="s">
        <v>44</v>
      </c>
      <c r="C1" s="31"/>
      <c r="D1" s="31"/>
    </row>
    <row r="2" spans="2:4" ht="21.75" customHeight="1" x14ac:dyDescent="0.3">
      <c r="B2" s="4" t="s">
        <v>32</v>
      </c>
      <c r="C2" s="8" t="s">
        <v>45</v>
      </c>
      <c r="D2" s="8" t="s">
        <v>46</v>
      </c>
    </row>
    <row r="3" spans="2:4" ht="9.75" customHeight="1" x14ac:dyDescent="0.3"/>
    <row r="4" spans="2:4" ht="30" customHeight="1" x14ac:dyDescent="0.3">
      <c r="B4" s="2" t="s">
        <v>17</v>
      </c>
      <c r="C4" s="2" t="s">
        <v>47</v>
      </c>
      <c r="D4" s="3" t="s">
        <v>48</v>
      </c>
    </row>
    <row r="5" spans="2:4" ht="19.5" customHeight="1" x14ac:dyDescent="0.3">
      <c r="B5" s="9">
        <v>100</v>
      </c>
      <c r="C5" s="10">
        <f>AVERAGEIFS('1. Datos_Crudos'!$J:$J,'1. Datos_Crudos'!$B:$B,"A4 - Burbuja",'1. Datos_Crudos'!$C:$C,"Iterativo",'1. Datos_Crudos'!$D:$D,B5)</f>
        <v>0.30693999999999999</v>
      </c>
      <c r="D5" s="11">
        <f>AVERAGEIFS('1. Datos_Crudos'!$J:$J,'1. Datos_Crudos'!$B:$B,"A4 - Burbuja",'1. Datos_Crudos'!$C:$C,"Recursivo",'1. Datos_Crudos'!$D:$D,B5)</f>
        <v>9.55598E-2</v>
      </c>
    </row>
    <row r="6" spans="2:4" ht="19.5" customHeight="1" x14ac:dyDescent="0.3">
      <c r="B6" s="12">
        <v>500</v>
      </c>
      <c r="C6" s="13">
        <f>AVERAGEIFS('1. Datos_Crudos'!$J:$J,'1. Datos_Crudos'!$B:$B,"A4 - Burbuja",'1. Datos_Crudos'!$C:$C,"Iterativo",'1. Datos_Crudos'!$D:$D,B6)</f>
        <v>1.5142604</v>
      </c>
      <c r="D6" s="14">
        <f>AVERAGEIFS('1. Datos_Crudos'!$J:$J,'1. Datos_Crudos'!$B:$B,"A4 - Burbuja",'1. Datos_Crudos'!$C:$C,"Recursivo",'1. Datos_Crudos'!$D:$D,B6)</f>
        <v>1.21272</v>
      </c>
    </row>
    <row r="7" spans="2:4" ht="19.5" customHeight="1" x14ac:dyDescent="0.3">
      <c r="B7" s="9">
        <v>1000</v>
      </c>
      <c r="C7" s="10">
        <f>AVERAGEIFS('1. Datos_Crudos'!$J:$J,'1. Datos_Crudos'!$B:$B,"A4 - Burbuja",'1. Datos_Crudos'!$C:$C,"Iterativo",'1. Datos_Crudos'!$D:$D,B7)</f>
        <v>1.1532398000000001</v>
      </c>
      <c r="D7" s="11">
        <f>AVERAGEIFS('1. Datos_Crudos'!$J:$J,'1. Datos_Crudos'!$B:$B,"A4 - Burbuja",'1. Datos_Crudos'!$C:$C,"Recursivo",'1. Datos_Crudos'!$D:$D,B7)</f>
        <v>3.4674601999999992</v>
      </c>
    </row>
    <row r="8" spans="2:4" ht="19.5" customHeight="1" x14ac:dyDescent="0.3">
      <c r="B8" s="12">
        <v>5000</v>
      </c>
      <c r="C8" s="13">
        <f>AVERAGEIFS('1. Datos_Crudos'!$J:$J,'1. Datos_Crudos'!$B:$B,"A4 - Burbuja",'1. Datos_Crudos'!$C:$C,"Iterativo",'1. Datos_Crudos'!$D:$D,B8)</f>
        <v>27.761680200000001</v>
      </c>
      <c r="D8" s="14">
        <f>AVERAGEIFS('1. Datos_Crudos'!$J:$J,'1. Datos_Crudos'!$B:$B,"A4 - Burbuja",'1. Datos_Crudos'!$C:$C,"Recursivo",'1. Datos_Crudos'!$D:$D,B8)</f>
        <v>29.294780200000002</v>
      </c>
    </row>
    <row r="9" spans="2:4" ht="19.5" customHeight="1" x14ac:dyDescent="0.3">
      <c r="B9" s="9">
        <v>10000</v>
      </c>
      <c r="C9" s="10">
        <f>AVERAGEIFS('1. Datos_Crudos'!$J:$J,'1. Datos_Crudos'!$B:$B,"A4 - Burbuja",'1. Datos_Crudos'!$C:$C,"Iterativo",'1. Datos_Crudos'!$D:$D,B9)</f>
        <v>134.75662020000001</v>
      </c>
      <c r="D9" s="11">
        <f>AVERAGEIFS('1. Datos_Crudos'!$J:$J,'1. Datos_Crudos'!$B:$B,"A4 - Burbuja",'1. Datos_Crudos'!$C:$C,"Recursivo",'1. Datos_Crudos'!$D:$D,B9)</f>
        <v>142.67748019999999</v>
      </c>
    </row>
    <row r="11" spans="2:4" ht="39.75" customHeight="1" x14ac:dyDescent="0.3">
      <c r="B11" s="33" t="s">
        <v>49</v>
      </c>
      <c r="C11" s="33"/>
      <c r="D11" s="33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topLeftCell="E4" zoomScale="160" zoomScaleNormal="160" workbookViewId="0">
      <selection activeCell="G12" sqref="G12"/>
    </sheetView>
  </sheetViews>
  <sheetFormatPr baseColWidth="10" defaultColWidth="8.6640625" defaultRowHeight="15" customHeight="1" x14ac:dyDescent="0.3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3">
      <c r="B1" s="31" t="s">
        <v>50</v>
      </c>
      <c r="C1" s="31"/>
      <c r="D1" s="31"/>
      <c r="E1" s="31"/>
      <c r="F1" s="31"/>
      <c r="G1" s="31"/>
    </row>
    <row r="2" spans="2:7" ht="9.75" customHeight="1" x14ac:dyDescent="0.3"/>
    <row r="3" spans="2:7" ht="30" customHeight="1" x14ac:dyDescent="0.3">
      <c r="B3" s="18" t="s">
        <v>15</v>
      </c>
      <c r="C3" s="18" t="s">
        <v>16</v>
      </c>
      <c r="D3" s="19" t="s">
        <v>51</v>
      </c>
      <c r="E3" s="20" t="s">
        <v>52</v>
      </c>
      <c r="F3" s="20" t="s">
        <v>53</v>
      </c>
      <c r="G3" s="20" t="s">
        <v>54</v>
      </c>
    </row>
    <row r="4" spans="2:7" ht="21.75" customHeight="1" x14ac:dyDescent="0.3">
      <c r="B4" s="20" t="s">
        <v>24</v>
      </c>
      <c r="C4" s="21" t="s">
        <v>25</v>
      </c>
      <c r="D4" s="55" t="s">
        <v>33</v>
      </c>
      <c r="E4" s="20" t="s">
        <v>33</v>
      </c>
      <c r="F4" s="56" t="s">
        <v>65</v>
      </c>
      <c r="G4" s="57" t="s">
        <v>66</v>
      </c>
    </row>
    <row r="5" spans="2:7" ht="21.75" customHeight="1" x14ac:dyDescent="0.3">
      <c r="B5" s="22" t="s">
        <v>24</v>
      </c>
      <c r="C5" s="23" t="s">
        <v>26</v>
      </c>
      <c r="D5" s="55" t="s">
        <v>33</v>
      </c>
      <c r="E5" s="22" t="s">
        <v>33</v>
      </c>
      <c r="F5" s="56" t="s">
        <v>65</v>
      </c>
      <c r="G5" s="57" t="s">
        <v>67</v>
      </c>
    </row>
    <row r="6" spans="2:7" ht="21.75" customHeight="1" x14ac:dyDescent="0.3">
      <c r="B6" s="20" t="s">
        <v>27</v>
      </c>
      <c r="C6" s="21" t="s">
        <v>25</v>
      </c>
      <c r="D6" s="55" t="s">
        <v>33</v>
      </c>
      <c r="E6" s="20" t="s">
        <v>33</v>
      </c>
      <c r="F6" s="56" t="s">
        <v>65</v>
      </c>
      <c r="G6" s="57" t="s">
        <v>68</v>
      </c>
    </row>
    <row r="7" spans="2:7" ht="21.75" customHeight="1" x14ac:dyDescent="0.3">
      <c r="B7" s="22" t="s">
        <v>27</v>
      </c>
      <c r="C7" s="23" t="s">
        <v>26</v>
      </c>
      <c r="D7" s="55" t="s">
        <v>55</v>
      </c>
      <c r="E7" s="22" t="s">
        <v>55</v>
      </c>
      <c r="F7" s="56" t="s">
        <v>65</v>
      </c>
      <c r="G7" s="57" t="s">
        <v>69</v>
      </c>
    </row>
    <row r="8" spans="2:7" ht="21.75" customHeight="1" x14ac:dyDescent="0.3">
      <c r="B8" s="20" t="s">
        <v>28</v>
      </c>
      <c r="C8" s="21" t="s">
        <v>25</v>
      </c>
      <c r="D8" s="55" t="s">
        <v>33</v>
      </c>
      <c r="E8" s="20" t="s">
        <v>33</v>
      </c>
      <c r="F8" s="56" t="s">
        <v>70</v>
      </c>
      <c r="G8" s="57" t="s">
        <v>71</v>
      </c>
    </row>
    <row r="9" spans="2:7" ht="21.75" customHeight="1" x14ac:dyDescent="0.3">
      <c r="B9" s="22" t="s">
        <v>28</v>
      </c>
      <c r="C9" s="23" t="s">
        <v>26</v>
      </c>
      <c r="D9" s="55" t="s">
        <v>33</v>
      </c>
      <c r="E9" s="22" t="s">
        <v>33</v>
      </c>
      <c r="F9" s="56" t="s">
        <v>65</v>
      </c>
      <c r="G9" s="57" t="s">
        <v>72</v>
      </c>
    </row>
    <row r="10" spans="2:7" ht="21.75" customHeight="1" x14ac:dyDescent="0.3">
      <c r="B10" s="20" t="s">
        <v>29</v>
      </c>
      <c r="C10" s="21" t="s">
        <v>25</v>
      </c>
      <c r="D10" s="55" t="s">
        <v>45</v>
      </c>
      <c r="E10" s="20" t="s">
        <v>45</v>
      </c>
      <c r="F10" s="56" t="s">
        <v>65</v>
      </c>
      <c r="G10" s="57" t="s">
        <v>74</v>
      </c>
    </row>
    <row r="11" spans="2:7" ht="21.75" customHeight="1" x14ac:dyDescent="0.3">
      <c r="B11" s="22" t="s">
        <v>29</v>
      </c>
      <c r="C11" s="23" t="s">
        <v>26</v>
      </c>
      <c r="D11" s="55" t="s">
        <v>45</v>
      </c>
      <c r="E11" s="22" t="s">
        <v>45</v>
      </c>
      <c r="F11" s="56" t="s">
        <v>65</v>
      </c>
      <c r="G11" s="57" t="s">
        <v>73</v>
      </c>
    </row>
    <row r="14" spans="2:7" ht="7.5" customHeight="1" x14ac:dyDescent="0.3"/>
    <row r="15" spans="2:7" ht="15" customHeight="1" x14ac:dyDescent="0.3">
      <c r="B15" s="35" t="s">
        <v>56</v>
      </c>
      <c r="C15" s="35"/>
      <c r="D15" s="35"/>
      <c r="E15" s="35"/>
      <c r="F15" s="35"/>
      <c r="G15" s="35"/>
    </row>
    <row r="16" spans="2:7" ht="19.5" customHeight="1" x14ac:dyDescent="0.3">
      <c r="B16" s="4" t="s">
        <v>57</v>
      </c>
      <c r="C16" s="36" t="s">
        <v>58</v>
      </c>
      <c r="D16" s="36"/>
      <c r="E16" s="36"/>
      <c r="F16" s="36"/>
      <c r="G16" s="36"/>
    </row>
    <row r="17" spans="2:7" ht="19.5" customHeight="1" x14ac:dyDescent="0.3">
      <c r="B17" s="6" t="s">
        <v>59</v>
      </c>
      <c r="C17" s="37" t="s">
        <v>60</v>
      </c>
      <c r="D17" s="37"/>
      <c r="E17" s="37"/>
      <c r="F17" s="37"/>
      <c r="G17" s="37"/>
    </row>
    <row r="18" spans="2:7" ht="19.5" customHeight="1" x14ac:dyDescent="0.3">
      <c r="B18" s="4" t="s">
        <v>61</v>
      </c>
      <c r="C18" s="36" t="s">
        <v>62</v>
      </c>
      <c r="D18" s="36"/>
      <c r="E18" s="36"/>
      <c r="F18" s="36"/>
      <c r="G18" s="36"/>
    </row>
    <row r="19" spans="2:7" ht="19.5" customHeight="1" x14ac:dyDescent="0.3">
      <c r="B19" s="24" t="s">
        <v>63</v>
      </c>
      <c r="C19" s="34" t="s">
        <v>64</v>
      </c>
      <c r="D19" s="34"/>
      <c r="E19" s="34"/>
      <c r="F19" s="34"/>
      <c r="G19" s="34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Alonzo Cujcuj, Henry Orlando</cp:lastModifiedBy>
  <cp:revision>1</cp:revision>
  <dcterms:created xsi:type="dcterms:W3CDTF">2026-02-20T06:55:59Z</dcterms:created>
  <dcterms:modified xsi:type="dcterms:W3CDTF">2026-03-01T05:09:24Z</dcterms:modified>
  <dc:language>en-US</dc:language>
</cp:coreProperties>
</file>